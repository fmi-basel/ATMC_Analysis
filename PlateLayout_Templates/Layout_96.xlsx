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/>
  <mc:AlternateContent xmlns:mc="http://schemas.openxmlformats.org/markup-compatibility/2006">
    <mc:Choice Requires="x15">
      <x15ac:absPath xmlns:x15ac="http://schemas.microsoft.com/office/spreadsheetml/2010/11/ac" url="/Users/kahnmaur/Desktop/"/>
    </mc:Choice>
  </mc:AlternateContent>
  <xr:revisionPtr revIDLastSave="0" documentId="13_ncr:1_{D0E767D0-2D4D-7C41-9F5E-B40AD5CF6389}" xr6:coauthVersionLast="47" xr6:coauthVersionMax="47" xr10:uidLastSave="{00000000-0000-0000-0000-000000000000}"/>
  <bookViews>
    <workbookView xWindow="0" yWindow="760" windowWidth="34560" windowHeight="21580" activeTab="2" xr2:uid="{1E6FB2F2-F9FD-FB42-A454-FF7D5327F7E1}"/>
  </bookViews>
  <sheets>
    <sheet name="Experimental Layout" sheetId="1" r:id="rId1"/>
    <sheet name="StainingLayout" sheetId="4" r:id="rId2"/>
    <sheet name="AntibodyData" sheetId="2" r:id="rId3"/>
    <sheet name="NanobodyData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8" i="4" l="1"/>
  <c r="AM8" i="4" s="1"/>
  <c r="AK8" i="4"/>
  <c r="AJ8" i="4"/>
  <c r="AI8" i="4"/>
  <c r="AE8" i="4" a="1"/>
  <c r="AE8" i="4" s="1"/>
  <c r="AF8" i="4" s="1"/>
  <c r="AB8" i="4"/>
  <c r="AA8" i="4"/>
  <c r="Z8" i="4"/>
  <c r="Y8" i="4"/>
  <c r="X8" i="4"/>
  <c r="W8" i="4"/>
  <c r="V8" i="4"/>
  <c r="U8" i="4"/>
  <c r="AC8" i="4" l="1"/>
  <c r="AG8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<sst xmlns="http://schemas.openxmlformats.org/spreadsheetml/2006/main" count="191" uniqueCount="91">
  <si>
    <t>A</t>
  </si>
  <si>
    <t>B</t>
  </si>
  <si>
    <t>C</t>
  </si>
  <si>
    <t>D</t>
  </si>
  <si>
    <t>E</t>
  </si>
  <si>
    <t>F</t>
  </si>
  <si>
    <t>G</t>
  </si>
  <si>
    <t>H</t>
  </si>
  <si>
    <t>Target</t>
  </si>
  <si>
    <t>Primary/Secondary</t>
  </si>
  <si>
    <t>Host</t>
  </si>
  <si>
    <t>Dilution</t>
  </si>
  <si>
    <t>Location</t>
  </si>
  <si>
    <t>Owner</t>
  </si>
  <si>
    <t>Concentration [ug/ml]</t>
  </si>
  <si>
    <t>Final Conc. [ug/ml]</t>
  </si>
  <si>
    <t>Primary</t>
  </si>
  <si>
    <t>Rabbit</t>
  </si>
  <si>
    <t>BH4</t>
  </si>
  <si>
    <t>Liberali</t>
  </si>
  <si>
    <t>Secondary</t>
  </si>
  <si>
    <t>Donkey</t>
  </si>
  <si>
    <t>Catalogue Nr.</t>
  </si>
  <si>
    <t>Supplier</t>
  </si>
  <si>
    <t>A10042</t>
  </si>
  <si>
    <t>ATMC</t>
  </si>
  <si>
    <t>Conjugation</t>
  </si>
  <si>
    <t>-</t>
  </si>
  <si>
    <t>AF647</t>
  </si>
  <si>
    <t>Mouse</t>
  </si>
  <si>
    <t>UniqueID</t>
  </si>
  <si>
    <t>Antibody Mix</t>
  </si>
  <si>
    <t>Number of wells</t>
  </si>
  <si>
    <t>AB1</t>
  </si>
  <si>
    <t>Well Volume [µl]:</t>
  </si>
  <si>
    <t>Antibody volume [µl]</t>
  </si>
  <si>
    <t>Total Staining Vol. [µl]</t>
  </si>
  <si>
    <t>Plate Name:</t>
  </si>
  <si>
    <t>Plate Layout</t>
  </si>
  <si>
    <t>Notes:</t>
  </si>
  <si>
    <t>Antibody Information</t>
  </si>
  <si>
    <t>Volume multiplicator:</t>
  </si>
  <si>
    <t>Nanobody</t>
  </si>
  <si>
    <t>NB multiplicator:</t>
  </si>
  <si>
    <t>Nanobody Vol [µl]</t>
  </si>
  <si>
    <t>Rabbit X4 - AF647</t>
  </si>
  <si>
    <t>Nanotag</t>
  </si>
  <si>
    <t>XYZ</t>
  </si>
  <si>
    <t>NB Conc [µM]</t>
  </si>
  <si>
    <t>Location NB</t>
  </si>
  <si>
    <t>NB Supplier</t>
  </si>
  <si>
    <t>NB Catalogue</t>
  </si>
  <si>
    <t>Concentration [µM]</t>
  </si>
  <si>
    <t>Multiplexing</t>
  </si>
  <si>
    <t>Immunostaining</t>
  </si>
  <si>
    <t>S1</t>
  </si>
  <si>
    <t>AF488+</t>
  </si>
  <si>
    <t>Thermo</t>
  </si>
  <si>
    <t>A32790</t>
  </si>
  <si>
    <t>S2</t>
  </si>
  <si>
    <t>AF568</t>
  </si>
  <si>
    <t>S3</t>
  </si>
  <si>
    <t>AF647+</t>
  </si>
  <si>
    <t>A32795</t>
  </si>
  <si>
    <t>S4</t>
  </si>
  <si>
    <t>A32766</t>
  </si>
  <si>
    <t>S5</t>
  </si>
  <si>
    <t>A10037</t>
  </si>
  <si>
    <t>S6</t>
  </si>
  <si>
    <t>A32787</t>
  </si>
  <si>
    <t>S7</t>
  </si>
  <si>
    <t>Goat</t>
  </si>
  <si>
    <t>A32814</t>
  </si>
  <si>
    <t>S8</t>
  </si>
  <si>
    <t>A11057</t>
  </si>
  <si>
    <t>S9</t>
  </si>
  <si>
    <t>A32849</t>
  </si>
  <si>
    <t>KRT7</t>
  </si>
  <si>
    <t>AF488</t>
  </si>
  <si>
    <t>abcam</t>
  </si>
  <si>
    <t>ab68459</t>
  </si>
  <si>
    <t>DARe Halleux</t>
  </si>
  <si>
    <t>AQP5</t>
  </si>
  <si>
    <t>MIST1</t>
  </si>
  <si>
    <t>Cell Signaling</t>
  </si>
  <si>
    <t>14896S</t>
  </si>
  <si>
    <t>KI67</t>
  </si>
  <si>
    <t>BD</t>
  </si>
  <si>
    <t>Liberali BG9</t>
  </si>
  <si>
    <t>aSMA</t>
  </si>
  <si>
    <t>ab199093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</si>
</sst>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sz val="12"/>
      <color theme="4" tint="0.39997558519241921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sz val="12"/>
      <color theme="6" tint="0.39997558519241921"/>
      <name val="Aptos Narrow"/>
      <family val="2"/>
      <scheme val="minor"/>
    </font>
    <font>
      <sz val="12"/>
      <color theme="8" tint="0.3999755851924192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b/>
      <sz val="12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7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0" xfId="0" applyFill="1" applyBorder="1"/>
    <xf numFmtId="0" fontId="0" fillId="3" borderId="0" xfId="0" applyFill="1"/>
    <xf numFmtId="0" fontId="0" fillId="3" borderId="14" xfId="0" applyFill="1" applyBorder="1"/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right"/>
    </xf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0" fontId="0" fillId="0" borderId="2" xfId="0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/>
    <xf numFmtId="0" fontId="11" fillId="0" borderId="18" xfId="0" applyFont="1" applyBorder="1"/>
    <xf numFmtId="49" fontId="11" fillId="0" borderId="19" xfId="0" applyNumberFormat="1" applyFont="1" applyBorder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6" xfId="0" applyFill="1" applyBorder="1"/>
    <xf numFmtId="0" fontId="11" fillId="4" borderId="10" xfId="0" applyFont="1" applyFill="1" applyBorder="1" applyAlignment="1">
      <alignment horizontal="right"/>
    </xf>
    <xf numFmtId="0" fontId="13" fillId="5" borderId="20" xfId="0" applyFont="1" applyFill="1" applyBorder="1"/>
    <xf numFmtId="0" fontId="0" fillId="6" borderId="21" xfId="0" applyFill="1" applyBorder="1" applyAlignment="1">
      <alignment horizontal="center"/>
    </xf>
    <xf numFmtId="0" fontId="10" fillId="0" borderId="0" xfId="0" applyFont="1"/>
    <xf numFmtId="0" fontId="10" fillId="2" borderId="14" xfId="0" applyFont="1" applyFill="1" applyBorder="1"/>
    <xf numFmtId="0" fontId="10" fillId="2" borderId="17" xfId="0" applyFont="1" applyFill="1" applyBorder="1"/>
    <xf numFmtId="0" fontId="10" fillId="2" borderId="0" xfId="0" applyFont="1" applyFill="1" applyAlignment="1">
      <alignment horizontal="center" vertical="center"/>
    </xf>
    <xf numFmtId="0" fontId="10" fillId="2" borderId="16" xfId="0" applyFont="1" applyFill="1" applyBorder="1"/>
    <xf numFmtId="0" fontId="10" fillId="2" borderId="0" xfId="0" applyFont="1" applyFill="1"/>
    <xf numFmtId="0" fontId="11" fillId="4" borderId="15" xfId="0" applyFont="1" applyFill="1" applyBorder="1" applyAlignment="1">
      <alignment horizontal="right"/>
    </xf>
    <xf numFmtId="0" fontId="12" fillId="4" borderId="16" xfId="0" applyFont="1" applyFill="1" applyBorder="1"/>
    <xf numFmtId="0" fontId="12" fillId="4" borderId="0" xfId="0" applyFont="1" applyFill="1"/>
    <xf numFmtId="0" fontId="0" fillId="2" borderId="0" xfId="0" applyFill="1"/>
    <xf numFmtId="0" fontId="0" fillId="7" borderId="0" xfId="0" applyFill="1"/>
    <xf numFmtId="0" fontId="0" fillId="7" borderId="14" xfId="0" applyFill="1" applyBorder="1"/>
    <xf numFmtId="0" fontId="0" fillId="7" borderId="15" xfId="0" applyFill="1" applyBorder="1"/>
    <xf numFmtId="0" fontId="0" fillId="7" borderId="16" xfId="0" applyFill="1" applyBorder="1"/>
    <xf numFmtId="0" fontId="0" fillId="7" borderId="17" xfId="0" applyFill="1" applyBorder="1"/>
    <xf numFmtId="0" fontId="0" fillId="7" borderId="0" xfId="0" applyFill="1" applyAlignment="1">
      <alignment horizontal="center" vertical="center"/>
    </xf>
    <xf numFmtId="0" fontId="11" fillId="0" borderId="10" xfId="0" applyFont="1" applyBorder="1" applyAlignment="1">
      <alignment horizontal="right"/>
    </xf>
    <xf numFmtId="0" fontId="9" fillId="3" borderId="0" xfId="0" applyFont="1" applyFill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11" fillId="7" borderId="22" xfId="0" applyFont="1" applyFill="1" applyBorder="1" applyAlignment="1">
      <alignment horizontal="center"/>
    </xf>
    <xf numFmtId="0" fontId="11" fillId="7" borderId="19" xfId="0" applyFont="1" applyFill="1" applyBorder="1" applyAlignment="1">
      <alignment horizontal="center"/>
    </xf>
    <xf numFmtId="0" fontId="11" fillId="2" borderId="18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69">
    <dxf>
      <font>
        <color rgb="FF006100"/>
      </font>
      <fill>
        <patternFill>
          <bgColor rgb="FFC6EFCE"/>
        </patternFill>
      </fill>
    </dxf>
    <dxf>
      <font>
        <b/>
        <i val="0"/>
        <color theme="3" tint="0.24994659260841701"/>
      </font>
      <fill>
        <patternFill>
          <bgColor theme="0" tint="-0.14996795556505021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3" tint="0.24994659260841701"/>
      </font>
      <fill>
        <patternFill>
          <bgColor theme="0" tint="-0.14996795556505021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ont>
        <b/>
      </font>
      <numFmt numFmtId="0" formatCode="General"/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ont>
        <b/>
      </font>
      <numFmt numFmtId="0" formatCode="General"/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3" tint="0.89999084444715716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A2909C-F130-EB4E-9186-8CB258647FED}" name="Table3" displayName="Table3" ref="T7:AM8" headerRowDxfId="68" dataDxfId="67">
  <autoFilter ref="T7:AM8" xr:uid="{C2A2909C-F130-EB4E-9186-8CB258647FED}"/>
  <tableColumns count="20">
    <tableColumn id="1" xr3:uid="{FF41DBCE-0393-214F-A422-4A56F257BCFB}" name="UniqueID" totalsRowLabel="Total" dataDxfId="66" totalsRowDxfId="65"/>
    <tableColumn id="2" xr3:uid="{7508DFEA-D76F-F144-BDDC-BD582E2F6EF8}" name="Target" dataDxfId="64" totalsRowDxfId="63">
      <calculatedColumnFormula>VLOOKUP($T8, AntibodyData!$A:$Z, 2, FALSE)</calculatedColumnFormula>
    </tableColumn>
    <tableColumn id="3" xr3:uid="{3FF3BA2C-B916-E143-879A-62B2FA3976EC}" name="Conjugation" dataDxfId="62" totalsRowDxfId="61">
      <calculatedColumnFormula>VLOOKUP($T8, AntibodyData!$A:$Z, 3, FALSE)</calculatedColumnFormula>
    </tableColumn>
    <tableColumn id="4" xr3:uid="{E6817B25-4AEB-3B43-A98F-EE95F9FFC2EC}" name="Host" dataDxfId="60" totalsRowDxfId="59">
      <calculatedColumnFormula>VLOOKUP($T8, AntibodyData!$A:$Z, 5, FALSE)</calculatedColumnFormula>
    </tableColumn>
    <tableColumn id="5" xr3:uid="{18B54C82-14DC-B442-BB7F-E93B30DDC5E0}" name="Location" dataDxfId="58" totalsRowDxfId="57">
      <calculatedColumnFormula>VLOOKUP($T8, AntibodyData!$A:$Z, 6, FALSE)</calculatedColumnFormula>
    </tableColumn>
    <tableColumn id="6" xr3:uid="{A48B7F7C-71A1-7B4E-9A09-CA39B95A3982}" name="Supplier" dataDxfId="56" totalsRowDxfId="55">
      <calculatedColumnFormula>VLOOKUP($T8, AntibodyData!$A:$Z, 7, FALSE)</calculatedColumnFormula>
    </tableColumn>
    <tableColumn id="7" xr3:uid="{7706BA38-B464-FA4A-A281-2448CC6A8B47}" name="Catalogue Nr." dataDxfId="54" totalsRowDxfId="53">
      <calculatedColumnFormula>VLOOKUP($T8, AntibodyData!$A:$Z, 8, FALSE)</calculatedColumnFormula>
    </tableColumn>
    <tableColumn id="8" xr3:uid="{88B8CC0B-5BAD-1449-994A-A373D86C56F7}" name="Concentration [ug/ml]" dataDxfId="52" totalsRowDxfId="51">
      <calculatedColumnFormula>VLOOKUP($T8, AntibodyData!$A:$Z, 10, FALSE)</calculatedColumnFormula>
    </tableColumn>
    <tableColumn id="9" xr3:uid="{CAD6448C-E737-FF47-BE9B-88FDA06669BB}" name="Dilution" dataDxfId="50" totalsRowDxfId="49">
      <calculatedColumnFormula>VLOOKUP($T8, AntibodyData!$A:$Z, 11, FALSE)</calculatedColumnFormula>
    </tableColumn>
    <tableColumn id="10" xr3:uid="{D501BF6C-BF20-4849-8D2A-AC3B20725344}" name="Final Conc. [ug/ml]" dataDxfId="48" totalsRowDxfId="47">
      <calculatedColumnFormula>Table3[[#This Row],[Concentration '[ug/ml']]]/Table3[[#This Row],[Dilution]]</calculatedColumnFormula>
    </tableColumn>
    <tableColumn id="11" xr3:uid="{286DCB42-22D8-3244-BAB7-22FD7C576B00}" name="Antibody Mix" dataDxfId="46" totalsRowDxfId="45"/>
    <tableColumn id="12" xr3:uid="{07C787B0-B4EE-2E48-98DF-E5CEC520840F}" name="Number of wells" dataDxfId="44" totalsRowDxfId="43">
      <calculatedColumnFormula array="1">SUM(COUNTIF($F$8:$P$999, TRIM(_xlfn.TEXTSPLIT(Table3[[#This Row],[Antibody Mix]], ","))))</calculatedColumnFormula>
    </tableColumn>
    <tableColumn id="13" xr3:uid="{F53E1D66-1346-9340-B54B-EBE23FA313EF}" name="Total Staining Vol. [µl]" dataDxfId="42" totalsRowDxfId="41">
      <calculatedColumnFormula>Table3[[#This Row],[Number of wells]]*$U$5*$U$6</calculatedColumnFormula>
    </tableColumn>
    <tableColumn id="14" xr3:uid="{64A04BFD-8C32-C34E-B2F5-E37371E0C1A9}" name="Antibody volume [µl]" totalsRowFunction="count" dataDxfId="40" totalsRowDxfId="39">
      <calculatedColumnFormula>Table3[[#This Row],[Total Staining Vol. '[µl']]]/Table3[[#This Row],[Dilution]]</calculatedColumnFormula>
    </tableColumn>
    <tableColumn id="15" xr3:uid="{5AD28CDF-2A94-1F48-B21D-4C760506E934}" name="Nanobody" dataDxfId="38"/>
    <tableColumn id="16" xr3:uid="{0A62F35D-F512-3F4B-81E1-C3A415552D54}" name="Location NB" dataDxfId="37" totalsRowDxfId="36">
      <calculatedColumnFormula>VLOOKUP($AH8, NanobodyData!$A:$Z, 2, FALSE)</calculatedColumnFormula>
    </tableColumn>
    <tableColumn id="17" xr3:uid="{E5FED54B-3ED0-B94A-A566-2655EC853F91}" name="NB Supplier" dataDxfId="35" totalsRowDxfId="34">
      <calculatedColumnFormula>VLOOKUP($AH8, NanobodyData!$A:$Z, 3, FALSE)</calculatedColumnFormula>
    </tableColumn>
    <tableColumn id="18" xr3:uid="{49737DDB-16CC-2348-AF2A-3B4D1537F4F1}" name="NB Catalogue" dataDxfId="33" totalsRowDxfId="32">
      <calculatedColumnFormula>VLOOKUP($AH8, NanobodyData!$A:$Z, 4, FALSE)</calculatedColumnFormula>
    </tableColumn>
    <tableColumn id="19" xr3:uid="{47010426-8DD9-4242-8D22-4D568249AE92}" name="NB Conc [µM]" dataDxfId="31" totalsRowDxfId="30">
      <calculatedColumnFormula>VLOOKUP($AH8, NanobodyData!$A:$Z, 6, FALSE)</calculatedColumnFormula>
    </tableColumn>
    <tableColumn id="20" xr3:uid="{7C66EEBC-61BE-324C-9778-09C4DDA0756D}" name="Nanobody Vol [µl]" dataDxfId="29" totalsRowDxfId="28">
      <calculatedColumnFormula>Table3[[#This Row],[NB Conc '[µM']]]*2</calculatedColumnFormula>
    </tableColumn>
  </tableColumns>
  <tableStyleInfo name="TableStyleLight1" showFirstColumn="0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DBC7AD-94F0-0B4E-A30A-D8D5EB99992C}" name="Table2" displayName="Table2" ref="A1:L15" totalsRowShown="0" dataDxfId="16">
  <autoFilter ref="A1:L15" xr:uid="{F3DBC7AD-94F0-0B4E-A30A-D8D5EB99992C}"/>
  <tableColumns count="12">
    <tableColumn id="1" xr3:uid="{FAB043F6-52B8-434D-8487-DF667AB73B38}" name="UniqueID" dataDxfId="15"/>
    <tableColumn id="12" xr3:uid="{11510EB8-607D-7840-9429-41F5E0E0818D}" name="Target" dataDxfId="14"/>
    <tableColumn id="11" xr3:uid="{C2B175FA-1B1D-614C-839E-DA75C892BDFC}" name="Conjugation" dataDxfId="13"/>
    <tableColumn id="2" xr3:uid="{FF91D255-8E2D-9846-96CE-FC716EDEAE0C}" name="Primary/Secondary" dataDxfId="12"/>
    <tableColumn id="3" xr3:uid="{65C1DE36-8166-4B40-8F4A-931879AB598F}" name="Host" dataDxfId="11"/>
    <tableColumn id="4" xr3:uid="{6935426C-C1AA-074C-BD9E-B0ABB7FDAA17}" name="Location" dataDxfId="10"/>
    <tableColumn id="10" xr3:uid="{DE47A0C0-87DD-814E-85EE-9D19202EB4D0}" name="Supplier" dataDxfId="9"/>
    <tableColumn id="9" xr3:uid="{D3D37672-80E0-D048-8007-C002B7BE3880}" name="Catalogue Nr." dataDxfId="8"/>
    <tableColumn id="5" xr3:uid="{7054F7BC-6A84-2D40-91CD-6FA0C42537CA}" name="Owner" dataDxfId="7"/>
    <tableColumn id="6" xr3:uid="{B0E0A4F7-A2B1-5144-84E0-BFF690AFBA29}" name="Concentration [ug/ml]" dataDxfId="6"/>
    <tableColumn id="7" xr3:uid="{11AF2222-D922-9E49-A665-5CCBF3FBDF58}" name="Dilution" dataDxfId="5"/>
    <tableColumn id="8" xr3:uid="{CC3A1CBC-426C-4948-8EE8-6BFC9F6B42BC}" name="Final Conc. [ug/ml]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5DBCE0-1840-3141-AD35-25B95BB34219}" name="Table1" displayName="Table1" ref="A1:F2" totalsRowShown="0" headerRowDxfId="27" dataDxfId="25" headerRowBorderDxfId="26" tableBorderDxfId="24" totalsRowBorderDxfId="23">
  <autoFilter ref="A1:F2" xr:uid="{3B5DBCE0-1840-3141-AD35-25B95BB34219}"/>
  <tableColumns count="6">
    <tableColumn id="1" xr3:uid="{34A59E5A-EBBD-DB49-8EBF-F5AAE9C4165F}" name="Nanobody" dataDxfId="22"/>
    <tableColumn id="2" xr3:uid="{0AD254A3-EF8C-E144-9450-505C0ECFB1C7}" name="Location" dataDxfId="21"/>
    <tableColumn id="3" xr3:uid="{C636AD49-A2D6-C249-AD2E-751F9A2D0F3D}" name="Supplier" dataDxfId="20"/>
    <tableColumn id="4" xr3:uid="{92845A6A-34AC-EE48-B2C4-362B906F66A5}" name="Catalogue Nr." dataDxfId="19"/>
    <tableColumn id="5" xr3:uid="{99DFE2E0-7BD3-F34B-81B2-9EEC41A9E372}" name="Owner" dataDxfId="18"/>
    <tableColumn id="6" xr3:uid="{466E1466-FB62-9542-B2E1-2FCC63699ACF}" name="Concentration [µM]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E7132-224C-7741-9BB5-7F53AAE5A9E8}">
  <sheetPr>
    <pageSetUpPr fitToPage="1"/>
  </sheetPr>
  <dimension ref="A1:P15"/>
  <sheetViews>
    <sheetView zoomScale="110" zoomScaleNormal="100" workbookViewId="0">
      <selection activeCell="H25" sqref="H25"/>
    </sheetView>
  </sheetViews>
  <sheetFormatPr baseColWidth="10" defaultColWidth="11" defaultRowHeight="16" x14ac:dyDescent="0.2"/>
  <cols>
    <col min="2" max="2" width="13" bestFit="1" customWidth="1"/>
    <col min="3" max="3" width="13.1640625" bestFit="1" customWidth="1"/>
  </cols>
  <sheetData>
    <row r="1" spans="1:16" x14ac:dyDescent="0.2">
      <c r="A1" s="10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2"/>
    </row>
    <row r="2" spans="1:16" ht="19" x14ac:dyDescent="0.25">
      <c r="A2" s="13"/>
      <c r="B2" s="38" t="s">
        <v>37</v>
      </c>
      <c r="C2" s="39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5"/>
    </row>
    <row r="3" spans="1:16" x14ac:dyDescent="0.2">
      <c r="A3" s="13"/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5"/>
    </row>
    <row r="4" spans="1:16" ht="23" thickBot="1" x14ac:dyDescent="0.25">
      <c r="A4" s="13"/>
      <c r="B4" s="14"/>
      <c r="C4" s="16"/>
      <c r="D4" s="17">
        <v>1</v>
      </c>
      <c r="E4" s="17">
        <v>2</v>
      </c>
      <c r="F4" s="17">
        <v>3</v>
      </c>
      <c r="G4" s="17">
        <v>4</v>
      </c>
      <c r="H4" s="17">
        <v>5</v>
      </c>
      <c r="I4" s="17">
        <v>6</v>
      </c>
      <c r="J4" s="17">
        <v>7</v>
      </c>
      <c r="K4" s="17">
        <v>8</v>
      </c>
      <c r="L4" s="17">
        <v>9</v>
      </c>
      <c r="M4" s="17">
        <v>10</v>
      </c>
      <c r="N4" s="17">
        <v>11</v>
      </c>
      <c r="O4" s="17">
        <v>12</v>
      </c>
      <c r="P4" s="15"/>
    </row>
    <row r="5" spans="1:16" ht="22" x14ac:dyDescent="0.2">
      <c r="A5" s="13"/>
      <c r="B5" s="14"/>
      <c r="C5" s="17" t="s">
        <v>0</v>
      </c>
      <c r="D5" s="22"/>
      <c r="E5" s="23"/>
      <c r="F5" s="23"/>
      <c r="G5" s="23"/>
      <c r="H5" s="24"/>
      <c r="I5" s="24"/>
      <c r="J5" s="24"/>
      <c r="K5" s="25"/>
      <c r="L5" s="25"/>
      <c r="M5" s="25"/>
      <c r="N5" s="26"/>
      <c r="O5" s="27"/>
      <c r="P5" s="15"/>
    </row>
    <row r="6" spans="1:16" ht="22" x14ac:dyDescent="0.2">
      <c r="A6" s="13"/>
      <c r="B6" s="14"/>
      <c r="C6" s="17" t="s">
        <v>1</v>
      </c>
      <c r="D6" s="28"/>
      <c r="E6" s="29"/>
      <c r="F6" s="30"/>
      <c r="G6" s="30"/>
      <c r="H6" s="30"/>
      <c r="I6" s="30"/>
      <c r="J6" s="30"/>
      <c r="K6" s="30"/>
      <c r="L6" s="30"/>
      <c r="M6" s="30"/>
      <c r="N6" s="30"/>
      <c r="O6" s="31"/>
      <c r="P6" s="15"/>
    </row>
    <row r="7" spans="1:16" ht="22" x14ac:dyDescent="0.2">
      <c r="A7" s="13"/>
      <c r="B7" s="14"/>
      <c r="C7" s="17" t="s">
        <v>2</v>
      </c>
      <c r="D7" s="28"/>
      <c r="E7" s="30"/>
      <c r="F7" s="30"/>
      <c r="G7" s="30"/>
      <c r="H7" s="30"/>
      <c r="I7" s="30"/>
      <c r="J7" s="30"/>
      <c r="K7" s="30"/>
      <c r="L7" s="30"/>
      <c r="M7" s="30"/>
      <c r="N7" s="30"/>
      <c r="O7" s="31"/>
      <c r="P7" s="15"/>
    </row>
    <row r="8" spans="1:16" ht="22" x14ac:dyDescent="0.2">
      <c r="A8" s="13"/>
      <c r="B8" s="14"/>
      <c r="C8" s="17" t="s">
        <v>3</v>
      </c>
      <c r="D8" s="28"/>
      <c r="E8" s="30"/>
      <c r="F8" s="30"/>
      <c r="G8" s="30"/>
      <c r="H8" s="30"/>
      <c r="I8" s="30"/>
      <c r="J8" s="30"/>
      <c r="K8" s="30"/>
      <c r="L8" s="30"/>
      <c r="M8" s="30"/>
      <c r="N8" s="30"/>
      <c r="O8" s="31"/>
      <c r="P8" s="15"/>
    </row>
    <row r="9" spans="1:16" ht="22" x14ac:dyDescent="0.2">
      <c r="A9" s="13"/>
      <c r="B9" s="14"/>
      <c r="C9" s="17" t="s">
        <v>4</v>
      </c>
      <c r="D9" s="28"/>
      <c r="E9" s="30"/>
      <c r="F9" s="30"/>
      <c r="G9" s="30"/>
      <c r="H9" s="30"/>
      <c r="I9" s="30"/>
      <c r="J9" s="30"/>
      <c r="K9" s="30"/>
      <c r="L9" s="30"/>
      <c r="M9" s="30"/>
      <c r="N9" s="30"/>
      <c r="O9" s="31"/>
      <c r="P9" s="15"/>
    </row>
    <row r="10" spans="1:16" ht="22" x14ac:dyDescent="0.2">
      <c r="A10" s="13"/>
      <c r="B10" s="14"/>
      <c r="C10" s="17" t="s">
        <v>5</v>
      </c>
      <c r="D10" s="28"/>
      <c r="E10" s="30"/>
      <c r="F10" s="30"/>
      <c r="G10" s="30"/>
      <c r="H10" s="30"/>
      <c r="I10" s="32"/>
      <c r="J10" s="32"/>
      <c r="K10" s="32"/>
      <c r="L10" s="32"/>
      <c r="M10" s="32"/>
      <c r="N10" s="32"/>
      <c r="O10" s="31"/>
      <c r="P10" s="15"/>
    </row>
    <row r="11" spans="1:16" ht="22" x14ac:dyDescent="0.2">
      <c r="A11" s="13"/>
      <c r="B11" s="14"/>
      <c r="C11" s="17" t="s">
        <v>6</v>
      </c>
      <c r="D11" s="28"/>
      <c r="E11" s="30"/>
      <c r="F11" s="30"/>
      <c r="G11" s="30"/>
      <c r="H11" s="30"/>
      <c r="I11" s="32"/>
      <c r="J11" s="32"/>
      <c r="K11" s="32"/>
      <c r="L11" s="32"/>
      <c r="M11" s="32"/>
      <c r="N11" s="32"/>
      <c r="O11" s="31"/>
      <c r="P11" s="15"/>
    </row>
    <row r="12" spans="1:16" ht="23" thickBot="1" x14ac:dyDescent="0.25">
      <c r="A12" s="13"/>
      <c r="B12" s="14"/>
      <c r="C12" s="17" t="s">
        <v>7</v>
      </c>
      <c r="D12" s="33"/>
      <c r="E12" s="34"/>
      <c r="F12" s="34"/>
      <c r="G12" s="34"/>
      <c r="H12" s="34"/>
      <c r="I12" s="35"/>
      <c r="J12" s="35"/>
      <c r="K12" s="35"/>
      <c r="L12" s="35"/>
      <c r="M12" s="35"/>
      <c r="N12" s="35"/>
      <c r="O12" s="36"/>
      <c r="P12" s="15"/>
    </row>
    <row r="13" spans="1:16" x14ac:dyDescent="0.2">
      <c r="A13" s="13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5"/>
    </row>
    <row r="14" spans="1:16" x14ac:dyDescent="0.2">
      <c r="A14" s="13"/>
      <c r="B14" s="18" t="s">
        <v>39</v>
      </c>
      <c r="C14" s="37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5"/>
    </row>
    <row r="15" spans="1:16" x14ac:dyDescent="0.2">
      <c r="A15" s="19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1"/>
    </row>
  </sheetData>
  <conditionalFormatting sqref="D5:O12">
    <cfRule type="containsText" dxfId="3" priority="1" operator="containsText" text="PBS">
      <formula>NOT(ISERROR(SEARCH("PBS",D5)))</formula>
    </cfRule>
    <cfRule type="notContainsBlanks" dxfId="2" priority="2">
      <formula>LEN(TRIM(D5))&gt;0</formula>
    </cfRule>
  </conditionalFormatting>
  <pageMargins left="0.7" right="0.7" top="0.75" bottom="0.75" header="0.3" footer="0.3"/>
  <pageSetup paperSize="9" scale="7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2711F-ACEF-B04C-8066-FE44AA1BC620}">
  <dimension ref="A2:AN48"/>
  <sheetViews>
    <sheetView zoomScale="57" zoomScaleNormal="107" workbookViewId="0">
      <selection activeCell="L26" sqref="L26"/>
    </sheetView>
  </sheetViews>
  <sheetFormatPr baseColWidth="10" defaultRowHeight="16" x14ac:dyDescent="0.2"/>
  <cols>
    <col min="3" max="3" width="13.5" bestFit="1" customWidth="1"/>
    <col min="4" max="4" width="8.83203125" bestFit="1" customWidth="1"/>
    <col min="5" max="16" width="10.83203125" customWidth="1"/>
    <col min="17" max="17" width="8.83203125" customWidth="1"/>
    <col min="18" max="18" width="13.5" customWidth="1"/>
    <col min="20" max="20" width="23.83203125" bestFit="1" customWidth="1"/>
    <col min="21" max="21" width="15" bestFit="1" customWidth="1"/>
    <col min="22" max="22" width="20.6640625" bestFit="1" customWidth="1"/>
    <col min="23" max="23" width="14.1640625" bestFit="1" customWidth="1"/>
    <col min="24" max="24" width="17.5" bestFit="1" customWidth="1"/>
    <col min="25" max="25" width="17.6640625" bestFit="1" customWidth="1"/>
    <col min="26" max="26" width="21.5" bestFit="1" customWidth="1"/>
    <col min="27" max="27" width="29.1640625" bestFit="1" customWidth="1"/>
    <col min="28" max="28" width="17.1640625" bestFit="1" customWidth="1"/>
    <col min="29" max="29" width="25.83203125" bestFit="1" customWidth="1"/>
    <col min="30" max="30" width="21.1640625" bestFit="1" customWidth="1"/>
    <col min="31" max="31" width="24.5" bestFit="1" customWidth="1"/>
    <col min="32" max="32" width="28.83203125" style="46" bestFit="1" customWidth="1"/>
    <col min="33" max="33" width="28" style="46" bestFit="1" customWidth="1"/>
    <col min="34" max="34" width="19.6640625" customWidth="1"/>
    <col min="35" max="36" width="20.83203125" bestFit="1" customWidth="1"/>
    <col min="37" max="37" width="17.5" bestFit="1" customWidth="1"/>
    <col min="38" max="38" width="17.33203125" bestFit="1" customWidth="1"/>
    <col min="39" max="39" width="20.83203125" bestFit="1" customWidth="1"/>
  </cols>
  <sheetData>
    <row r="2" spans="1:40" ht="24" x14ac:dyDescent="0.3">
      <c r="A2" s="63" t="s">
        <v>38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70" t="s">
        <v>40</v>
      </c>
      <c r="T2" s="70"/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0"/>
      <c r="AG2" s="70"/>
      <c r="AH2" s="70"/>
      <c r="AI2" s="70"/>
      <c r="AJ2" s="70"/>
      <c r="AK2" s="70"/>
      <c r="AL2" s="70"/>
      <c r="AM2" s="70"/>
      <c r="AN2" s="70"/>
    </row>
    <row r="4" spans="1:40" ht="19" x14ac:dyDescent="0.25">
      <c r="B4" s="10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2"/>
      <c r="T4" s="67" t="s">
        <v>54</v>
      </c>
      <c r="U4" s="68"/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9"/>
      <c r="AH4" s="64" t="s">
        <v>53</v>
      </c>
      <c r="AI4" s="65"/>
      <c r="AJ4" s="65"/>
      <c r="AK4" s="65"/>
      <c r="AL4" s="65"/>
      <c r="AM4" s="66"/>
    </row>
    <row r="5" spans="1:40" ht="19" x14ac:dyDescent="0.25">
      <c r="B5" s="13"/>
      <c r="C5" s="38" t="s">
        <v>37</v>
      </c>
      <c r="D5" s="39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5"/>
      <c r="T5" s="43" t="s">
        <v>41</v>
      </c>
      <c r="U5" s="54">
        <v>1.1499999999999999</v>
      </c>
      <c r="V5" s="55"/>
      <c r="W5" s="55"/>
      <c r="X5" s="55"/>
      <c r="Y5" s="55"/>
      <c r="Z5" s="55"/>
      <c r="AA5" s="55"/>
      <c r="AB5" s="55"/>
      <c r="AC5" s="55"/>
      <c r="AD5" s="55"/>
      <c r="AE5" s="55"/>
      <c r="AF5" s="51"/>
      <c r="AG5" s="47"/>
      <c r="AH5" s="62" t="s">
        <v>43</v>
      </c>
      <c r="AI5">
        <v>1</v>
      </c>
      <c r="AJ5" s="56"/>
      <c r="AK5" s="56"/>
      <c r="AL5" s="56"/>
      <c r="AM5" s="57"/>
    </row>
    <row r="6" spans="1:40" ht="19" x14ac:dyDescent="0.25">
      <c r="B6" s="13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5"/>
      <c r="T6" s="52" t="s">
        <v>34</v>
      </c>
      <c r="U6" s="53">
        <v>30</v>
      </c>
      <c r="V6" s="42"/>
      <c r="W6" s="42"/>
      <c r="X6" s="42"/>
      <c r="Y6" s="42"/>
      <c r="Z6" s="42"/>
      <c r="AA6" s="42"/>
      <c r="AB6" s="42"/>
      <c r="AC6" s="42"/>
      <c r="AD6" s="42"/>
      <c r="AE6" s="42"/>
      <c r="AF6" s="50"/>
      <c r="AG6" s="48"/>
      <c r="AH6" s="58"/>
      <c r="AI6" s="59"/>
      <c r="AJ6" s="59"/>
      <c r="AK6" s="59"/>
      <c r="AL6" s="59"/>
      <c r="AM6" s="60"/>
    </row>
    <row r="7" spans="1:40" ht="23" thickBot="1" x14ac:dyDescent="0.25">
      <c r="B7" s="13"/>
      <c r="C7" s="14"/>
      <c r="D7" s="16"/>
      <c r="E7" s="17">
        <v>1</v>
      </c>
      <c r="F7" s="17">
        <v>2</v>
      </c>
      <c r="G7" s="17">
        <v>3</v>
      </c>
      <c r="H7" s="17">
        <v>4</v>
      </c>
      <c r="I7" s="17">
        <v>5</v>
      </c>
      <c r="J7" s="17">
        <v>6</v>
      </c>
      <c r="K7" s="17">
        <v>7</v>
      </c>
      <c r="L7" s="17">
        <v>8</v>
      </c>
      <c r="M7" s="17">
        <v>9</v>
      </c>
      <c r="N7" s="17">
        <v>10</v>
      </c>
      <c r="O7" s="17">
        <v>11</v>
      </c>
      <c r="P7" s="17">
        <v>12</v>
      </c>
      <c r="Q7" s="15"/>
      <c r="T7" s="40" t="s">
        <v>30</v>
      </c>
      <c r="U7" s="41" t="s">
        <v>8</v>
      </c>
      <c r="V7" s="41" t="s">
        <v>26</v>
      </c>
      <c r="W7" s="41" t="s">
        <v>10</v>
      </c>
      <c r="X7" s="41" t="s">
        <v>12</v>
      </c>
      <c r="Y7" s="41" t="s">
        <v>23</v>
      </c>
      <c r="Z7" s="41" t="s">
        <v>22</v>
      </c>
      <c r="AA7" s="41" t="s">
        <v>14</v>
      </c>
      <c r="AB7" s="41" t="s">
        <v>11</v>
      </c>
      <c r="AC7" s="41" t="s">
        <v>15</v>
      </c>
      <c r="AD7" s="41" t="s">
        <v>31</v>
      </c>
      <c r="AE7" s="41" t="s">
        <v>32</v>
      </c>
      <c r="AF7" s="49" t="s">
        <v>36</v>
      </c>
      <c r="AG7" s="49" t="s">
        <v>35</v>
      </c>
      <c r="AH7" s="61" t="s">
        <v>42</v>
      </c>
      <c r="AI7" s="61" t="s">
        <v>49</v>
      </c>
      <c r="AJ7" s="61" t="s">
        <v>50</v>
      </c>
      <c r="AK7" s="61" t="s">
        <v>51</v>
      </c>
      <c r="AL7" s="61" t="s">
        <v>48</v>
      </c>
      <c r="AM7" s="61" t="s">
        <v>44</v>
      </c>
    </row>
    <row r="8" spans="1:40" ht="22" x14ac:dyDescent="0.2">
      <c r="B8" s="13"/>
      <c r="C8" s="14"/>
      <c r="D8" s="17" t="s">
        <v>0</v>
      </c>
      <c r="E8" s="22"/>
      <c r="F8" s="23"/>
      <c r="G8" s="23"/>
      <c r="H8" s="23"/>
      <c r="I8" s="24"/>
      <c r="J8" s="24"/>
      <c r="K8" s="24"/>
      <c r="L8" s="25"/>
      <c r="M8" s="25"/>
      <c r="N8" s="25"/>
      <c r="O8" s="26"/>
      <c r="P8" s="27"/>
      <c r="Q8" s="15"/>
      <c r="T8" s="41">
        <v>1</v>
      </c>
      <c r="U8" s="41" t="str">
        <f>VLOOKUP($T8, AntibodyData!$A:$Z, 2, FALSE)</f>
        <v>KRT7</v>
      </c>
      <c r="V8" s="41" t="str">
        <f>VLOOKUP($T8, AntibodyData!$A:$Z, 3, FALSE)</f>
        <v>AF488</v>
      </c>
      <c r="W8" s="41" t="str">
        <f>VLOOKUP($T8, AntibodyData!$A:$Z, 5, FALSE)</f>
        <v>Rabbit</v>
      </c>
      <c r="X8" s="41" t="str">
        <f>VLOOKUP($T8, AntibodyData!$A:$Z, 6, FALSE)</f>
        <v>ATMC</v>
      </c>
      <c r="Y8" s="41" t="str">
        <f>VLOOKUP($T8, AntibodyData!$A:$Z, 7, FALSE)</f>
        <v>abcam</v>
      </c>
      <c r="Z8" s="41" t="str">
        <f>VLOOKUP($T8, AntibodyData!$A:$Z, 8, FALSE)</f>
        <v>ab68459</v>
      </c>
      <c r="AA8" s="41">
        <f>VLOOKUP($T8, AntibodyData!$A:$Z, 10, FALSE)</f>
        <v>121</v>
      </c>
      <c r="AB8" s="41">
        <f>VLOOKUP($T8, AntibodyData!$A:$Z, 11, FALSE)</f>
        <v>200</v>
      </c>
      <c r="AC8" s="41">
        <f>Table3[[#This Row],[Concentration '[ug/ml']]]/Table3[[#This Row],[Dilution]]</f>
        <v>0.60499999999999998</v>
      </c>
      <c r="AD8" s="41" t="s">
        <v>33</v>
      </c>
      <c r="AE8" s="41" cm="1">
        <f t="array" ref="AE8">SUM(COUNTIF($F$8:$P$999, TRIM(_xlfn.TEXTSPLIT(Table3[[#This Row],[Antibody Mix]], ","))))</f>
        <v>0</v>
      </c>
      <c r="AF8" s="49">
        <f>Table3[[#This Row],[Number of wells]]*$U$5*$U$6</f>
        <v>0</v>
      </c>
      <c r="AG8" s="49">
        <f>Table3[[#This Row],[Total Staining Vol. '[µl']]]/Table3[[#This Row],[Dilution]]</f>
        <v>0</v>
      </c>
      <c r="AH8" s="61" t="s">
        <v>45</v>
      </c>
      <c r="AI8" s="61" t="str">
        <f>VLOOKUP($AH8, NanobodyData!$A:$Z, 2, FALSE)</f>
        <v>BH4</v>
      </c>
      <c r="AJ8" s="61" t="str">
        <f>VLOOKUP($AH8, NanobodyData!$A:$Z, 3, FALSE)</f>
        <v>Nanotag</v>
      </c>
      <c r="AK8" s="61" t="str">
        <f>VLOOKUP($AH8, NanobodyData!$A:$Z, 4, FALSE)</f>
        <v>XYZ</v>
      </c>
      <c r="AL8" s="61">
        <f>VLOOKUP($AH8, NanobodyData!$A:$Z, 6, FALSE)</f>
        <v>200</v>
      </c>
      <c r="AM8" s="61">
        <f>Table3[[#This Row],[NB Conc '[µM']]]*2</f>
        <v>400</v>
      </c>
    </row>
    <row r="9" spans="1:40" ht="22" x14ac:dyDescent="0.2">
      <c r="B9" s="13"/>
      <c r="C9" s="14"/>
      <c r="D9" s="17" t="s">
        <v>1</v>
      </c>
      <c r="E9" s="28"/>
      <c r="F9" s="29"/>
      <c r="G9" s="30"/>
      <c r="H9" s="30"/>
      <c r="I9" s="30"/>
      <c r="J9" s="30"/>
      <c r="K9" s="30"/>
      <c r="L9" s="30"/>
      <c r="M9" s="30"/>
      <c r="N9" s="30"/>
      <c r="O9" s="30"/>
      <c r="P9" s="31"/>
      <c r="Q9" s="15"/>
    </row>
    <row r="10" spans="1:40" ht="22" x14ac:dyDescent="0.2">
      <c r="B10" s="13"/>
      <c r="C10" s="14"/>
      <c r="D10" s="17" t="s">
        <v>2</v>
      </c>
      <c r="E10" s="28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1"/>
      <c r="Q10" s="15"/>
    </row>
    <row r="11" spans="1:40" ht="22" x14ac:dyDescent="0.2">
      <c r="B11" s="13"/>
      <c r="C11" s="14"/>
      <c r="D11" s="17" t="s">
        <v>3</v>
      </c>
      <c r="E11" s="28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1"/>
      <c r="Q11" s="15"/>
    </row>
    <row r="12" spans="1:40" ht="22" x14ac:dyDescent="0.2">
      <c r="B12" s="13"/>
      <c r="C12" s="14"/>
      <c r="D12" s="17" t="s">
        <v>4</v>
      </c>
      <c r="E12" s="28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1"/>
      <c r="Q12" s="15"/>
    </row>
    <row r="13" spans="1:40" ht="22" x14ac:dyDescent="0.2">
      <c r="B13" s="13"/>
      <c r="C13" s="14"/>
      <c r="D13" s="17" t="s">
        <v>5</v>
      </c>
      <c r="E13" s="28"/>
      <c r="F13" s="30"/>
      <c r="G13" s="30"/>
      <c r="H13" s="30"/>
      <c r="I13" s="30"/>
      <c r="J13" s="32"/>
      <c r="K13" s="32"/>
      <c r="L13" s="32"/>
      <c r="M13" s="32"/>
      <c r="N13" s="32"/>
      <c r="O13" s="32"/>
      <c r="P13" s="31"/>
      <c r="Q13" s="15"/>
    </row>
    <row r="14" spans="1:40" ht="22" x14ac:dyDescent="0.2">
      <c r="B14" s="13"/>
      <c r="C14" s="14"/>
      <c r="D14" s="17" t="s">
        <v>6</v>
      </c>
      <c r="E14" s="28"/>
      <c r="F14" s="30"/>
      <c r="G14" s="30"/>
      <c r="H14" s="30"/>
      <c r="I14" s="30"/>
      <c r="J14" s="32"/>
      <c r="K14" s="32"/>
      <c r="L14" s="32"/>
      <c r="M14" s="32"/>
      <c r="N14" s="32"/>
      <c r="O14" s="32"/>
      <c r="P14" s="31"/>
      <c r="Q14" s="15"/>
    </row>
    <row r="15" spans="1:40" ht="23" thickBot="1" x14ac:dyDescent="0.25">
      <c r="B15" s="13"/>
      <c r="C15" s="14"/>
      <c r="D15" s="17" t="s">
        <v>7</v>
      </c>
      <c r="E15" s="33"/>
      <c r="F15" s="34"/>
      <c r="G15" s="34"/>
      <c r="H15" s="34"/>
      <c r="I15" s="34"/>
      <c r="J15" s="35"/>
      <c r="K15" s="35"/>
      <c r="L15" s="35"/>
      <c r="M15" s="35"/>
      <c r="N15" s="35"/>
      <c r="O15" s="35"/>
      <c r="P15" s="36"/>
      <c r="Q15" s="15"/>
    </row>
    <row r="16" spans="1:40" x14ac:dyDescent="0.2">
      <c r="B16" s="13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5"/>
    </row>
    <row r="17" spans="2:17" x14ac:dyDescent="0.2">
      <c r="B17" s="13"/>
      <c r="C17" s="18" t="s">
        <v>39</v>
      </c>
      <c r="D17" s="37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5"/>
    </row>
    <row r="18" spans="2:17" x14ac:dyDescent="0.2">
      <c r="B18" s="19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1"/>
    </row>
    <row r="19" spans="2:17" ht="22" x14ac:dyDescent="0.2">
      <c r="C19" s="1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2:17" ht="22" x14ac:dyDescent="0.2">
      <c r="B20" s="2"/>
      <c r="C20" s="1"/>
      <c r="D20" s="4"/>
      <c r="E20" s="4"/>
      <c r="F20" s="4"/>
      <c r="G20" s="5"/>
      <c r="H20" s="5"/>
      <c r="I20" s="5"/>
      <c r="J20" s="6"/>
      <c r="K20" s="6"/>
      <c r="L20" s="6"/>
      <c r="M20" s="7"/>
      <c r="N20" s="1"/>
    </row>
    <row r="21" spans="2:17" ht="22" x14ac:dyDescent="0.2">
      <c r="B21" s="2"/>
      <c r="C21" s="1"/>
      <c r="D21" s="8"/>
      <c r="E21" s="9"/>
      <c r="F21" s="9"/>
      <c r="G21" s="9"/>
      <c r="H21" s="9"/>
      <c r="I21" s="9"/>
      <c r="J21" s="9"/>
      <c r="K21" s="9"/>
      <c r="L21" s="9"/>
      <c r="M21" s="9"/>
      <c r="N21" s="1"/>
    </row>
    <row r="22" spans="2:17" ht="22" x14ac:dyDescent="0.2">
      <c r="B22" s="2"/>
      <c r="C22" s="1"/>
      <c r="D22" s="9"/>
      <c r="E22" s="9"/>
      <c r="F22" s="9"/>
      <c r="G22" s="9"/>
      <c r="H22" s="9"/>
      <c r="I22" s="9"/>
      <c r="J22" s="9"/>
      <c r="K22" s="9"/>
      <c r="L22" s="9"/>
      <c r="M22" s="9"/>
      <c r="N22" s="1"/>
    </row>
    <row r="23" spans="2:17" ht="22" x14ac:dyDescent="0.2">
      <c r="B23" s="2"/>
      <c r="C23" s="1"/>
      <c r="D23" s="9"/>
      <c r="E23" s="9"/>
      <c r="F23" s="9"/>
      <c r="G23" s="9"/>
      <c r="H23" s="9"/>
      <c r="I23" s="9"/>
      <c r="J23" s="9"/>
      <c r="K23" s="9"/>
      <c r="L23" s="9"/>
      <c r="M23" s="9"/>
      <c r="N23" s="1"/>
    </row>
    <row r="24" spans="2:17" ht="22" x14ac:dyDescent="0.2">
      <c r="B24" s="2"/>
      <c r="C24" s="1"/>
      <c r="D24" s="9"/>
      <c r="E24" s="9"/>
      <c r="F24" s="9"/>
      <c r="G24" s="9"/>
      <c r="H24" s="9"/>
      <c r="I24" s="9"/>
      <c r="J24" s="9"/>
      <c r="K24" s="9"/>
      <c r="L24" s="9"/>
      <c r="M24" s="9"/>
      <c r="N24" s="1"/>
    </row>
    <row r="25" spans="2:17" ht="22" x14ac:dyDescent="0.2">
      <c r="B25" s="2"/>
      <c r="C25" s="1"/>
      <c r="D25" s="9"/>
      <c r="E25" s="9"/>
      <c r="F25" s="9"/>
      <c r="G25" s="9"/>
      <c r="H25" s="1"/>
      <c r="I25" s="1"/>
      <c r="J25" s="1"/>
      <c r="K25" s="1"/>
      <c r="L25" s="1"/>
      <c r="M25" s="1"/>
      <c r="N25" s="1"/>
    </row>
    <row r="26" spans="2:17" ht="22" x14ac:dyDescent="0.2">
      <c r="B26" s="2"/>
      <c r="C26" s="1"/>
      <c r="D26" s="9"/>
      <c r="E26" s="9"/>
      <c r="F26" s="9"/>
      <c r="G26" s="9"/>
      <c r="H26" s="1"/>
      <c r="I26" s="1"/>
      <c r="J26" s="1"/>
      <c r="K26" s="1"/>
      <c r="L26" s="1"/>
      <c r="M26" s="1"/>
      <c r="N26" s="1"/>
    </row>
    <row r="27" spans="2:17" ht="22" x14ac:dyDescent="0.2">
      <c r="B27" s="2"/>
      <c r="C27" s="1"/>
      <c r="D27" s="7"/>
      <c r="E27" s="7"/>
      <c r="F27" s="7"/>
      <c r="G27" s="7"/>
      <c r="H27" s="1"/>
      <c r="I27" s="1"/>
      <c r="J27" s="1"/>
      <c r="K27" s="1"/>
      <c r="L27" s="1"/>
      <c r="M27" s="1"/>
      <c r="N27" s="1"/>
    </row>
    <row r="30" spans="2:17" ht="22" x14ac:dyDescent="0.2">
      <c r="B30" s="1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7" ht="22" x14ac:dyDescent="0.2">
      <c r="B31" s="2"/>
      <c r="C31" s="1"/>
      <c r="D31" s="4"/>
      <c r="E31" s="4"/>
      <c r="F31" s="4"/>
      <c r="G31" s="5"/>
      <c r="H31" s="5"/>
      <c r="I31" s="5"/>
      <c r="J31" s="6"/>
      <c r="K31" s="6"/>
      <c r="L31" s="6"/>
      <c r="M31" s="7"/>
      <c r="N31" s="1"/>
    </row>
    <row r="32" spans="2:17" ht="22" x14ac:dyDescent="0.2">
      <c r="B32" s="2"/>
      <c r="C32" s="1"/>
      <c r="D32" s="8"/>
      <c r="E32" s="9"/>
      <c r="F32" s="9"/>
      <c r="G32" s="9"/>
      <c r="H32" s="9"/>
      <c r="I32" s="9"/>
      <c r="J32" s="9"/>
      <c r="K32" s="9"/>
      <c r="L32" s="9"/>
      <c r="M32" s="9"/>
      <c r="N32" s="1"/>
    </row>
    <row r="33" spans="2:14" ht="22" x14ac:dyDescent="0.2">
      <c r="B33" s="2"/>
      <c r="C33" s="1"/>
      <c r="D33" s="9"/>
      <c r="E33" s="9"/>
      <c r="F33" s="9"/>
      <c r="G33" s="9"/>
      <c r="H33" s="9"/>
      <c r="I33" s="9"/>
      <c r="J33" s="9"/>
      <c r="K33" s="9"/>
      <c r="L33" s="9"/>
      <c r="M33" s="9"/>
      <c r="N33" s="1"/>
    </row>
    <row r="34" spans="2:14" ht="22" x14ac:dyDescent="0.2">
      <c r="B34" s="2"/>
      <c r="C34" s="1"/>
      <c r="D34" s="9"/>
      <c r="E34" s="9"/>
      <c r="F34" s="9"/>
      <c r="G34" s="9"/>
      <c r="H34" s="9"/>
      <c r="I34" s="9"/>
      <c r="J34" s="9"/>
      <c r="K34" s="9"/>
      <c r="L34" s="9"/>
      <c r="M34" s="9"/>
      <c r="N34" s="1"/>
    </row>
    <row r="35" spans="2:14" ht="22" x14ac:dyDescent="0.2">
      <c r="B35" s="2"/>
      <c r="C35" s="1"/>
      <c r="D35" s="9"/>
      <c r="E35" s="9"/>
      <c r="F35" s="9"/>
      <c r="G35" s="9"/>
      <c r="H35" s="9"/>
      <c r="I35" s="9"/>
      <c r="J35" s="9"/>
      <c r="K35" s="9"/>
      <c r="L35" s="9"/>
      <c r="M35" s="9"/>
      <c r="N35" s="1"/>
    </row>
    <row r="36" spans="2:14" ht="22" x14ac:dyDescent="0.2">
      <c r="B36" s="2"/>
      <c r="C36" s="1"/>
      <c r="D36" s="9"/>
      <c r="E36" s="9"/>
      <c r="F36" s="9"/>
      <c r="G36" s="9"/>
      <c r="H36" s="1"/>
      <c r="I36" s="1"/>
      <c r="J36" s="1"/>
      <c r="K36" s="1"/>
      <c r="L36" s="1"/>
      <c r="M36" s="1"/>
      <c r="N36" s="1"/>
    </row>
    <row r="37" spans="2:14" ht="22" x14ac:dyDescent="0.2">
      <c r="B37" s="2"/>
      <c r="C37" s="1"/>
      <c r="D37" s="9"/>
      <c r="E37" s="9"/>
      <c r="F37" s="9"/>
      <c r="G37" s="9"/>
      <c r="H37" s="1"/>
      <c r="I37" s="1"/>
      <c r="J37" s="1"/>
      <c r="K37" s="1"/>
      <c r="L37" s="1"/>
      <c r="M37" s="1"/>
      <c r="N37" s="1"/>
    </row>
    <row r="38" spans="2:14" ht="22" x14ac:dyDescent="0.2">
      <c r="B38" s="2"/>
      <c r="C38" s="1"/>
      <c r="D38" s="7"/>
      <c r="E38" s="7"/>
      <c r="F38" s="7"/>
      <c r="G38" s="7"/>
      <c r="H38" s="1"/>
      <c r="I38" s="1"/>
      <c r="J38" s="1"/>
      <c r="K38" s="1"/>
      <c r="L38" s="1"/>
      <c r="M38" s="1"/>
      <c r="N38" s="1"/>
    </row>
    <row r="40" spans="2:14" ht="22" x14ac:dyDescent="0.2">
      <c r="B40" s="1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22" x14ac:dyDescent="0.2">
      <c r="B41" s="2"/>
      <c r="C41" s="1"/>
      <c r="D41" s="4"/>
      <c r="E41" s="4"/>
      <c r="F41" s="4"/>
      <c r="G41" s="5"/>
      <c r="H41" s="5"/>
      <c r="I41" s="5"/>
      <c r="J41" s="6"/>
      <c r="K41" s="6"/>
      <c r="L41" s="6"/>
      <c r="M41" s="7"/>
      <c r="N41" s="1"/>
    </row>
    <row r="42" spans="2:14" ht="22" x14ac:dyDescent="0.2">
      <c r="B42" s="2"/>
      <c r="C42" s="1"/>
      <c r="D42" s="8"/>
      <c r="E42" s="9"/>
      <c r="F42" s="9"/>
      <c r="G42" s="9"/>
      <c r="H42" s="9"/>
      <c r="I42" s="9"/>
      <c r="J42" s="9"/>
      <c r="K42" s="9"/>
      <c r="L42" s="9"/>
      <c r="M42" s="9"/>
      <c r="N42" s="1"/>
    </row>
    <row r="43" spans="2:14" ht="22" x14ac:dyDescent="0.2">
      <c r="B43" s="2"/>
      <c r="C43" s="1"/>
      <c r="D43" s="9"/>
      <c r="E43" s="9"/>
      <c r="F43" s="9"/>
      <c r="G43" s="9"/>
      <c r="H43" s="9"/>
      <c r="I43" s="9"/>
      <c r="J43" s="9"/>
      <c r="K43" s="9"/>
      <c r="L43" s="9"/>
      <c r="M43" s="9"/>
      <c r="N43" s="1"/>
    </row>
    <row r="44" spans="2:14" ht="22" x14ac:dyDescent="0.2">
      <c r="B44" s="2"/>
      <c r="C44" s="1"/>
      <c r="D44" s="9"/>
      <c r="E44" s="9"/>
      <c r="F44" s="9"/>
      <c r="G44" s="9"/>
      <c r="H44" s="9"/>
      <c r="I44" s="9"/>
      <c r="J44" s="9"/>
      <c r="K44" s="9"/>
      <c r="L44" s="9"/>
      <c r="M44" s="9"/>
      <c r="N44" s="1"/>
    </row>
    <row r="45" spans="2:14" ht="22" x14ac:dyDescent="0.2">
      <c r="B45" s="2"/>
      <c r="C45" s="1"/>
      <c r="D45" s="9"/>
      <c r="E45" s="9"/>
      <c r="F45" s="9"/>
      <c r="G45" s="9"/>
      <c r="H45" s="9"/>
      <c r="I45" s="9"/>
      <c r="J45" s="9"/>
      <c r="K45" s="9"/>
      <c r="L45" s="9"/>
      <c r="M45" s="9"/>
      <c r="N45" s="1"/>
    </row>
    <row r="46" spans="2:14" ht="22" x14ac:dyDescent="0.2">
      <c r="B46" s="2"/>
      <c r="C46" s="1"/>
      <c r="D46" s="9"/>
      <c r="E46" s="9"/>
      <c r="F46" s="9"/>
      <c r="G46" s="9"/>
      <c r="H46" s="1"/>
      <c r="I46" s="1"/>
      <c r="J46" s="1"/>
      <c r="K46" s="1"/>
      <c r="L46" s="1"/>
      <c r="M46" s="1"/>
      <c r="N46" s="1"/>
    </row>
    <row r="47" spans="2:14" ht="22" x14ac:dyDescent="0.2">
      <c r="B47" s="2"/>
      <c r="C47" s="1"/>
      <c r="D47" s="9"/>
      <c r="E47" s="9"/>
      <c r="F47" s="9"/>
      <c r="G47" s="9"/>
      <c r="H47" s="1"/>
      <c r="I47" s="1"/>
      <c r="J47" s="1"/>
      <c r="K47" s="1"/>
      <c r="L47" s="1"/>
      <c r="M47" s="1"/>
      <c r="N47" s="1"/>
    </row>
    <row r="48" spans="2:14" ht="22" x14ac:dyDescent="0.2">
      <c r="B48" s="2"/>
      <c r="C48" s="1"/>
      <c r="D48" s="7"/>
      <c r="E48" s="7"/>
      <c r="F48" s="7"/>
      <c r="G48" s="7"/>
      <c r="H48" s="1"/>
      <c r="I48" s="1"/>
      <c r="J48" s="1"/>
      <c r="K48" s="1"/>
      <c r="L48" s="1"/>
      <c r="M48" s="1"/>
      <c r="N48" s="1"/>
    </row>
  </sheetData>
  <mergeCells count="4">
    <mergeCell ref="A2:R2"/>
    <mergeCell ref="AH4:AM4"/>
    <mergeCell ref="T4:AG4"/>
    <mergeCell ref="S2:AN2"/>
  </mergeCells>
  <conditionalFormatting sqref="E8:P15">
    <cfRule type="containsText" dxfId="1" priority="1" operator="containsText" text="PBS">
      <formula>NOT(ISERROR(SEARCH("PBS",E8)))</formula>
    </cfRule>
    <cfRule type="notContainsBlanks" dxfId="0" priority="2">
      <formula>LEN(TRIM(E8))&gt;0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80162-1C1A-9542-B9CC-D2111BB204BB}">
          <x14:formula1>
            <xm:f>AntibodyData!A:A</xm:f>
          </x14:formula1>
          <xm:sqref>T8</xm:sqref>
        </x14:dataValidation>
        <x14:dataValidation type="list" allowBlank="1" showInputMessage="1" showErrorMessage="1" xr:uid="{F7931952-2D14-9A40-9F0D-C6A19C712869}">
          <x14:formula1>
            <xm:f>NanobodyData!A2:A9999</xm:f>
          </x14:formula1>
          <xm:sqref>AH8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2B8A9-129D-A140-B453-9A008FA69F35}">
  <dimension ref="A1:L15"/>
  <sheetViews>
    <sheetView tabSelected="1" zoomScale="133" workbookViewId="0">
      <selection activeCell="D23" sqref="D23"/>
    </sheetView>
  </sheetViews>
  <sheetFormatPr baseColWidth="10" defaultRowHeight="16" x14ac:dyDescent="0.2"/>
  <cols>
    <col min="1" max="1" width="14" bestFit="1" customWidth="1"/>
    <col min="2" max="2" width="14" customWidth="1"/>
    <col min="4" max="4" width="18.5" customWidth="1"/>
    <col min="6" max="6" width="13" bestFit="1" customWidth="1"/>
    <col min="7" max="8" width="13" customWidth="1"/>
    <col min="10" max="10" width="20.6640625" customWidth="1"/>
    <col min="11" max="11" width="9" customWidth="1"/>
    <col min="12" max="12" width="18.1640625" customWidth="1"/>
  </cols>
  <sheetData>
    <row r="1" spans="1:12" x14ac:dyDescent="0.2">
      <c r="A1" t="s">
        <v>30</v>
      </c>
      <c r="B1" t="s">
        <v>8</v>
      </c>
      <c r="C1" t="s">
        <v>26</v>
      </c>
      <c r="D1" t="s">
        <v>9</v>
      </c>
      <c r="E1" t="s">
        <v>10</v>
      </c>
      <c r="F1" t="s">
        <v>12</v>
      </c>
      <c r="G1" t="s">
        <v>23</v>
      </c>
      <c r="H1" t="s">
        <v>22</v>
      </c>
      <c r="I1" t="s">
        <v>13</v>
      </c>
      <c r="J1" t="s">
        <v>14</v>
      </c>
      <c r="K1" t="s">
        <v>11</v>
      </c>
      <c r="L1" t="s">
        <v>15</v>
      </c>
    </row>
    <row r="2" spans="1:12" x14ac:dyDescent="0.2">
      <c r="A2" s="3" t="s">
        <v>55</v>
      </c>
      <c r="B2" s="3" t="s">
        <v>17</v>
      </c>
      <c r="C2" s="3" t="s">
        <v>56</v>
      </c>
      <c r="D2" s="3" t="s">
        <v>20</v>
      </c>
      <c r="E2" s="3" t="s">
        <v>21</v>
      </c>
      <c r="F2" s="3" t="s">
        <v>25</v>
      </c>
      <c r="G2" s="3" t="s">
        <v>57</v>
      </c>
      <c r="H2" s="3" t="s">
        <v>58</v>
      </c>
      <c r="I2" s="3" t="s">
        <v>25</v>
      </c>
      <c r="J2" s="3">
        <v>2000</v>
      </c>
      <c r="K2" s="3">
        <v>500</v>
      </c>
      <c r="L2" s="3">
        <v>4</v>
      </c>
    </row>
    <row r="3" spans="1:12" x14ac:dyDescent="0.2">
      <c r="A3" s="3" t="s">
        <v>59</v>
      </c>
      <c r="B3" s="3" t="s">
        <v>17</v>
      </c>
      <c r="C3" s="3" t="s">
        <v>60</v>
      </c>
      <c r="D3" s="3" t="s">
        <v>20</v>
      </c>
      <c r="E3" s="3" t="s">
        <v>21</v>
      </c>
      <c r="F3" s="3" t="s">
        <v>25</v>
      </c>
      <c r="G3" s="3" t="s">
        <v>57</v>
      </c>
      <c r="H3" s="3" t="s">
        <v>24</v>
      </c>
      <c r="I3" s="3" t="s">
        <v>25</v>
      </c>
      <c r="J3" s="3">
        <v>2000</v>
      </c>
      <c r="K3" s="3">
        <v>500</v>
      </c>
      <c r="L3" s="3">
        <v>4</v>
      </c>
    </row>
    <row r="4" spans="1:12" x14ac:dyDescent="0.2">
      <c r="A4" s="3" t="s">
        <v>61</v>
      </c>
      <c r="B4" s="3" t="s">
        <v>17</v>
      </c>
      <c r="C4" s="3" t="s">
        <v>62</v>
      </c>
      <c r="D4" s="3" t="s">
        <v>20</v>
      </c>
      <c r="E4" s="3" t="s">
        <v>21</v>
      </c>
      <c r="F4" s="3" t="s">
        <v>25</v>
      </c>
      <c r="G4" s="3" t="s">
        <v>57</v>
      </c>
      <c r="H4" s="3" t="s">
        <v>63</v>
      </c>
      <c r="I4" s="3" t="s">
        <v>25</v>
      </c>
      <c r="J4" s="3">
        <v>2000</v>
      </c>
      <c r="K4" s="3">
        <v>500</v>
      </c>
      <c r="L4" s="3">
        <v>4</v>
      </c>
    </row>
    <row r="5" spans="1:12" x14ac:dyDescent="0.2">
      <c r="A5" s="3" t="s">
        <v>64</v>
      </c>
      <c r="B5" s="3" t="s">
        <v>29</v>
      </c>
      <c r="C5" s="3" t="s">
        <v>56</v>
      </c>
      <c r="D5" s="3" t="s">
        <v>20</v>
      </c>
      <c r="E5" s="3" t="s">
        <v>21</v>
      </c>
      <c r="F5" s="3" t="s">
        <v>25</v>
      </c>
      <c r="G5" s="3" t="s">
        <v>57</v>
      </c>
      <c r="H5" s="3" t="s">
        <v>65</v>
      </c>
      <c r="I5" s="3" t="s">
        <v>25</v>
      </c>
      <c r="J5" s="3">
        <v>2000</v>
      </c>
      <c r="K5" s="3">
        <v>500</v>
      </c>
      <c r="L5" s="3">
        <v>4</v>
      </c>
    </row>
    <row r="6" spans="1:12" x14ac:dyDescent="0.2">
      <c r="A6" s="3" t="s">
        <v>66</v>
      </c>
      <c r="B6" s="3" t="s">
        <v>29</v>
      </c>
      <c r="C6" s="3" t="s">
        <v>60</v>
      </c>
      <c r="D6" s="3" t="s">
        <v>20</v>
      </c>
      <c r="E6" s="3" t="s">
        <v>21</v>
      </c>
      <c r="F6" s="3" t="s">
        <v>25</v>
      </c>
      <c r="G6" s="3" t="s">
        <v>57</v>
      </c>
      <c r="H6" s="3" t="s">
        <v>67</v>
      </c>
      <c r="I6" s="3" t="s">
        <v>25</v>
      </c>
      <c r="J6" s="3">
        <v>2000</v>
      </c>
      <c r="K6" s="3">
        <v>500</v>
      </c>
      <c r="L6" s="71">
        <v>4</v>
      </c>
    </row>
    <row r="7" spans="1:12" x14ac:dyDescent="0.2">
      <c r="A7" s="3" t="s">
        <v>68</v>
      </c>
      <c r="B7" s="3" t="s">
        <v>29</v>
      </c>
      <c r="C7" s="3" t="s">
        <v>62</v>
      </c>
      <c r="D7" s="3" t="s">
        <v>20</v>
      </c>
      <c r="E7" s="3" t="s">
        <v>21</v>
      </c>
      <c r="F7" s="3" t="s">
        <v>25</v>
      </c>
      <c r="G7" s="3" t="s">
        <v>57</v>
      </c>
      <c r="H7" s="3" t="s">
        <v>69</v>
      </c>
      <c r="I7" s="3" t="s">
        <v>25</v>
      </c>
      <c r="J7" s="3">
        <v>2000</v>
      </c>
      <c r="K7" s="3">
        <v>500</v>
      </c>
      <c r="L7" s="71">
        <v>4</v>
      </c>
    </row>
    <row r="8" spans="1:12" x14ac:dyDescent="0.2">
      <c r="A8" s="3" t="s">
        <v>70</v>
      </c>
      <c r="B8" s="3" t="s">
        <v>71</v>
      </c>
      <c r="C8" s="3" t="s">
        <v>56</v>
      </c>
      <c r="D8" s="3" t="s">
        <v>20</v>
      </c>
      <c r="E8" s="3" t="s">
        <v>21</v>
      </c>
      <c r="F8" s="3" t="s">
        <v>25</v>
      </c>
      <c r="G8" s="3" t="s">
        <v>57</v>
      </c>
      <c r="H8" s="3" t="s">
        <v>72</v>
      </c>
      <c r="I8" s="3" t="s">
        <v>25</v>
      </c>
      <c r="J8" s="3">
        <v>2000</v>
      </c>
      <c r="K8" s="3">
        <v>500</v>
      </c>
      <c r="L8" s="71">
        <v>4</v>
      </c>
    </row>
    <row r="9" spans="1:12" x14ac:dyDescent="0.2">
      <c r="A9" s="3" t="s">
        <v>73</v>
      </c>
      <c r="B9" s="3" t="s">
        <v>71</v>
      </c>
      <c r="C9" s="3" t="s">
        <v>60</v>
      </c>
      <c r="D9" s="3" t="s">
        <v>20</v>
      </c>
      <c r="E9" s="3" t="s">
        <v>21</v>
      </c>
      <c r="F9" s="3" t="s">
        <v>25</v>
      </c>
      <c r="G9" s="3" t="s">
        <v>57</v>
      </c>
      <c r="H9" s="3" t="s">
        <v>74</v>
      </c>
      <c r="I9" s="3" t="s">
        <v>25</v>
      </c>
      <c r="J9" s="3">
        <v>2000</v>
      </c>
      <c r="K9" s="3">
        <v>500</v>
      </c>
      <c r="L9" s="71">
        <v>4</v>
      </c>
    </row>
    <row r="10" spans="1:12" x14ac:dyDescent="0.2">
      <c r="A10" s="3" t="s">
        <v>75</v>
      </c>
      <c r="B10" s="3" t="s">
        <v>71</v>
      </c>
      <c r="C10" s="3" t="s">
        <v>62</v>
      </c>
      <c r="D10" s="3" t="s">
        <v>20</v>
      </c>
      <c r="E10" s="3" t="s">
        <v>21</v>
      </c>
      <c r="F10" s="3" t="s">
        <v>25</v>
      </c>
      <c r="G10" s="3" t="s">
        <v>57</v>
      </c>
      <c r="H10" s="3" t="s">
        <v>76</v>
      </c>
      <c r="I10" s="3" t="s">
        <v>25</v>
      </c>
      <c r="J10" s="3">
        <v>2000</v>
      </c>
      <c r="K10" s="3">
        <v>500</v>
      </c>
      <c r="L10" s="71">
        <v>4</v>
      </c>
    </row>
    <row r="11" spans="1:12" x14ac:dyDescent="0.2">
      <c r="A11" s="3">
        <v>1</v>
      </c>
      <c r="B11" s="3" t="s">
        <v>77</v>
      </c>
      <c r="C11" s="3" t="s">
        <v>78</v>
      </c>
      <c r="D11" s="3" t="s">
        <v>16</v>
      </c>
      <c r="E11" s="3" t="s">
        <v>17</v>
      </c>
      <c r="F11" s="3" t="s">
        <v>25</v>
      </c>
      <c r="G11" s="3" t="s">
        <v>79</v>
      </c>
      <c r="H11" s="3" t="s">
        <v>80</v>
      </c>
      <c r="I11" s="3" t="s">
        <v>81</v>
      </c>
      <c r="J11" s="3">
        <v>121</v>
      </c>
      <c r="K11" s="3">
        <v>200</v>
      </c>
      <c r="L11" s="71">
        <v>0.60499999999999998</v>
      </c>
    </row>
    <row r="12" spans="1:12" x14ac:dyDescent="0.2">
      <c r="A12" s="3">
        <v>2</v>
      </c>
      <c r="B12" s="3" t="s">
        <v>82</v>
      </c>
      <c r="C12" s="3" t="s">
        <v>28</v>
      </c>
      <c r="D12" s="3" t="s">
        <v>16</v>
      </c>
      <c r="E12" s="3" t="s">
        <v>17</v>
      </c>
      <c r="F12" s="3" t="s">
        <v>25</v>
      </c>
      <c r="G12" s="3" t="s">
        <v>79</v>
      </c>
      <c r="H12" s="3">
        <v>215225</v>
      </c>
      <c r="I12" s="3" t="s">
        <v>81</v>
      </c>
      <c r="J12" s="3">
        <v>500</v>
      </c>
      <c r="K12" s="3">
        <v>200</v>
      </c>
      <c r="L12" s="71">
        <v>2.5</v>
      </c>
    </row>
    <row r="13" spans="1:12" x14ac:dyDescent="0.2">
      <c r="A13" s="3">
        <v>3</v>
      </c>
      <c r="B13" s="3" t="s">
        <v>83</v>
      </c>
      <c r="C13" s="3" t="s">
        <v>27</v>
      </c>
      <c r="D13" s="3" t="s">
        <v>16</v>
      </c>
      <c r="E13" s="3" t="s">
        <v>17</v>
      </c>
      <c r="F13" s="3" t="s">
        <v>25</v>
      </c>
      <c r="G13" s="3" t="s">
        <v>84</v>
      </c>
      <c r="H13" s="3" t="s">
        <v>85</v>
      </c>
      <c r="I13" s="3" t="s">
        <v>81</v>
      </c>
      <c r="J13" s="3">
        <v>600</v>
      </c>
      <c r="K13" s="3">
        <v>100</v>
      </c>
      <c r="L13" s="71">
        <v>6</v>
      </c>
    </row>
    <row r="14" spans="1:12" x14ac:dyDescent="0.2">
      <c r="A14" s="3">
        <v>4</v>
      </c>
      <c r="B14" s="3" t="s">
        <v>86</v>
      </c>
      <c r="C14" s="3" t="s">
        <v>27</v>
      </c>
      <c r="D14" s="3" t="s">
        <v>16</v>
      </c>
      <c r="E14" s="3" t="s">
        <v>29</v>
      </c>
      <c r="F14" s="3" t="s">
        <v>19</v>
      </c>
      <c r="G14" s="3" t="s">
        <v>87</v>
      </c>
      <c r="H14" s="3">
        <v>556003</v>
      </c>
      <c r="I14" s="3" t="s">
        <v>88</v>
      </c>
      <c r="J14" s="3">
        <v>500</v>
      </c>
      <c r="K14" s="3">
        <v>200</v>
      </c>
      <c r="L14" s="71">
        <v>2.5</v>
      </c>
    </row>
    <row r="15" spans="1:12" x14ac:dyDescent="0.2">
      <c r="A15" s="3">
        <v>5</v>
      </c>
      <c r="B15" s="3" t="s">
        <v>89</v>
      </c>
      <c r="C15" s="3" t="s">
        <v>28</v>
      </c>
      <c r="D15" s="3" t="s">
        <v>16</v>
      </c>
      <c r="E15" s="3" t="s">
        <v>17</v>
      </c>
      <c r="F15" s="3" t="s">
        <v>25</v>
      </c>
      <c r="G15" s="3" t="s">
        <v>79</v>
      </c>
      <c r="H15" s="3" t="s">
        <v>90</v>
      </c>
      <c r="I15" s="3" t="s">
        <v>81</v>
      </c>
      <c r="J15" s="3">
        <v>500</v>
      </c>
      <c r="K15" s="3">
        <v>1000</v>
      </c>
      <c r="L15" s="71">
        <v>0.5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CAE56-36E8-4544-B6B9-D2A22E667B0F}">
  <dimension ref="A1:F2"/>
  <sheetViews>
    <sheetView topLeftCell="A2" workbookViewId="0">
      <selection activeCell="G1" sqref="G1"/>
    </sheetView>
  </sheetViews>
  <sheetFormatPr baseColWidth="10" defaultRowHeight="16" x14ac:dyDescent="0.2"/>
  <cols>
    <col min="1" max="1" width="15.1640625" bestFit="1" customWidth="1"/>
    <col min="4" max="4" width="14.83203125" customWidth="1"/>
    <col min="5" max="5" width="10.83203125" customWidth="1"/>
    <col min="6" max="6" width="21.83203125" customWidth="1"/>
  </cols>
  <sheetData>
    <row r="1" spans="1:6" x14ac:dyDescent="0.2">
      <c r="A1" s="44" t="s">
        <v>42</v>
      </c>
      <c r="B1" s="44" t="s">
        <v>12</v>
      </c>
      <c r="C1" s="44" t="s">
        <v>23</v>
      </c>
      <c r="D1" s="44" t="s">
        <v>22</v>
      </c>
      <c r="E1" s="44" t="s">
        <v>13</v>
      </c>
      <c r="F1" s="44" t="s">
        <v>52</v>
      </c>
    </row>
    <row r="2" spans="1:6" x14ac:dyDescent="0.2">
      <c r="A2" s="45" t="s">
        <v>45</v>
      </c>
      <c r="B2" s="45" t="s">
        <v>18</v>
      </c>
      <c r="C2" s="45" t="s">
        <v>46</v>
      </c>
      <c r="D2" s="45" t="s">
        <v>47</v>
      </c>
      <c r="E2" s="45" t="s">
        <v>19</v>
      </c>
      <c r="F2" s="45">
        <v>200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Experimental Layout</vt:lpstr>
      <vt:lpstr>StainingLayout</vt:lpstr>
      <vt:lpstr>AntibodyData</vt:lpstr>
      <vt:lpstr>NanobodyData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Kahnwald, Maurice</dc:creator>
  <cp:keywords/>
  <dc:description/>
  <cp:lastModifiedBy>Kahnwald, Maurice</cp:lastModifiedBy>
  <cp:revision/>
  <cp:lastPrinted>2025-03-06T15:36:23Z</cp:lastPrinted>
  <dcterms:created xsi:type="dcterms:W3CDTF">2025-02-25T09:02:45Z</dcterms:created>
  <dcterms:modified xsi:type="dcterms:W3CDTF">2025-05-27T08:22:51Z</dcterms:modified>
  <cp:category/>
  <cp:contentStatus/>
</cp:coreProperties>
</file>